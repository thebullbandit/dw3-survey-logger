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CW" sheetId="1" r:id="rId5"/>
  </sheets>
  <definedNames/>
  <calcPr/>
</workbook>
</file>

<file path=xl/sharedStrings.xml><?xml version="1.0" encoding="utf-8"?>
<sst xmlns="http://schemas.openxmlformats.org/spreadsheetml/2006/main" count="20" uniqueCount="20">
  <si>
    <t>Satsuma - DW3 Logarithmic Density Scans</t>
  </si>
  <si>
    <t>Rho(0)/e</t>
  </si>
  <si>
    <t>Sum Rho</t>
  </si>
  <si>
    <t>Date</t>
  </si>
  <si>
    <t>Scale Height</t>
  </si>
  <si>
    <t>Stars</t>
  </si>
  <si>
    <t>R from core (LY)</t>
  </si>
  <si>
    <t>Thin Disk</t>
  </si>
  <si>
    <t>Dist from Sol (LY)</t>
  </si>
  <si>
    <t>Peak Density</t>
  </si>
  <si>
    <t>System</t>
  </si>
  <si>
    <t>Z Sample</t>
  </si>
  <si>
    <t>System Count</t>
  </si>
  <si>
    <t>Corrected n</t>
  </si>
  <si>
    <t>Max Distance</t>
  </si>
  <si>
    <t>Rho</t>
  </si>
  <si>
    <t>X</t>
  </si>
  <si>
    <t>Z</t>
  </si>
  <si>
    <t>Y</t>
  </si>
  <si>
    <t>Rho(s)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</si>
</sst>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2" fontId="3" numFmtId="164" xfId="0" applyFill="1" applyFont="1" applyNumberFormat="1"/>
    <xf borderId="0" fillId="0" fontId="2" numFmtId="164" xfId="0" applyFont="1" applyNumberFormat="1"/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Density Scan by Z-Axis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'Blank CW'!$F$5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'Blank CW'!$B$6:$B$30</c:f>
            </c:strRef>
          </c:cat>
          <c:val>
            <c:numRef>
              <c:f>'Blank CW'!$F$6:$F$30</c:f>
              <c:numCache/>
            </c:numRef>
          </c:val>
          <c:smooth val="1"/>
        </c:ser>
        <c:axId val="1394710895"/>
        <c:axId val="1982938499"/>
      </c:lineChart>
      <c:catAx>
        <c:axId val="1394710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 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938499"/>
      </c:catAx>
      <c:valAx>
        <c:axId val="1982938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Rho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710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781050</xdr:colOff>
      <xdr:row>8</xdr:row>
      <xdr:rowOff>66675</xdr:rowOff>
    </xdr:from>
    <xdr:ext cx="6705600" cy="4086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5.13"/>
    <col customWidth="1" min="5" max="5" width="17.0"/>
    <col customWidth="1" min="6" max="6" width="20.75"/>
    <col customWidth="1" min="7" max="7" width="7.13"/>
    <col customWidth="1" min="8" max="8" width="10.63"/>
    <col customWidth="1" min="9" max="9" width="10.38"/>
  </cols>
  <sheetData>
    <row r="1">
      <c r="A1" s="1" t="s">
        <v>0</v>
      </c>
      <c r="B1" s="2"/>
      <c r="C1" s="2"/>
      <c r="D1" s="2"/>
      <c r="E1" s="1" t="s">
        <v>1</v>
      </c>
      <c r="F1" s="3">
        <f>F14/EXP(1)</f>
        <v>0.00001097809341</v>
      </c>
      <c r="G1" s="2"/>
      <c r="H1" s="1" t="s">
        <v>2</v>
      </c>
      <c r="I1" s="4">
        <f>SUM(Q6:Q28)</f>
        <v>0.01492077591</v>
      </c>
      <c r="J1" s="2"/>
      <c r="K1" s="2"/>
    </row>
    <row r="2">
      <c r="A2" s="5" t="s">
        <v>3</v>
      </c>
      <c r="B2" s="2"/>
      <c r="C2" s="2"/>
      <c r="D2" s="2"/>
      <c r="E2" s="1" t="s">
        <v>4</v>
      </c>
      <c r="F2" s="6">
        <v>40.0</v>
      </c>
      <c r="G2" s="2"/>
      <c r="H2" s="1" t="s">
        <v>5</v>
      </c>
      <c r="I2" s="2">
        <f>ROUND((I1*PI() * 20 * 20),0)</f>
        <v>19</v>
      </c>
      <c r="J2" s="2"/>
      <c r="K2" s="2"/>
    </row>
    <row r="3">
      <c r="A3" s="1" t="s">
        <v>6</v>
      </c>
      <c r="B3" s="7">
        <f>FLOOR(SQRT(POW(25.22-G6, 2) + POW(25899.97-I6, 2)), 10)</f>
        <v>25890</v>
      </c>
      <c r="C3" s="2"/>
      <c r="D3" s="2"/>
      <c r="E3" s="1" t="s">
        <v>7</v>
      </c>
      <c r="G3" s="2"/>
      <c r="H3" s="2"/>
      <c r="I3" s="2"/>
      <c r="J3" s="2"/>
      <c r="K3" s="2"/>
    </row>
    <row r="4">
      <c r="A4" s="1" t="s">
        <v>8</v>
      </c>
      <c r="B4" s="7">
        <f>FLOOR(SQRT(POW(G6, 2) + POW(I6, 2)), 10)</f>
        <v>0</v>
      </c>
      <c r="C4" s="2"/>
      <c r="D4" s="2"/>
      <c r="E4" s="1" t="s">
        <v>9</v>
      </c>
      <c r="F4" s="8">
        <f>MAX(F6:F29)</f>
        <v>0.00002984155183</v>
      </c>
      <c r="G4" s="2"/>
      <c r="H4" s="2"/>
      <c r="I4" s="2"/>
      <c r="J4" s="2"/>
      <c r="K4" s="2"/>
    </row>
    <row r="5">
      <c r="A5" s="1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10" t="s">
        <v>15</v>
      </c>
      <c r="G5" s="1" t="s">
        <v>16</v>
      </c>
      <c r="H5" s="1" t="s">
        <v>17</v>
      </c>
      <c r="I5" s="1" t="s">
        <v>18</v>
      </c>
      <c r="J5" s="2"/>
      <c r="K5" s="2"/>
      <c r="Q5" s="11" t="s">
        <v>19</v>
      </c>
    </row>
    <row r="6">
      <c r="B6" s="11">
        <v>-250.0</v>
      </c>
      <c r="D6" s="4">
        <f t="shared" ref="D6:D29" si="1">C6+1</f>
        <v>1</v>
      </c>
      <c r="F6" s="8">
        <f t="shared" ref="F6:F29" si="2">IFS(D6=50,50/((4*PI()/3)*(E6^3)),D6&lt;50,D6/((4*pi()/3)*(20^3)))</f>
        <v>0.00002984155183</v>
      </c>
      <c r="Q6" s="4">
        <f t="shared" ref="Q6:Q28" si="3">(F6+F7)/2*(B7-B6)</f>
        <v>0.001492077591</v>
      </c>
    </row>
    <row r="7">
      <c r="B7" s="4">
        <f t="shared" ref="B7:B9" si="4">B6+50</f>
        <v>-200</v>
      </c>
      <c r="D7" s="4">
        <f t="shared" si="1"/>
        <v>1</v>
      </c>
      <c r="F7" s="8">
        <f t="shared" si="2"/>
        <v>0.00002984155183</v>
      </c>
      <c r="Q7" s="4">
        <f t="shared" si="3"/>
        <v>0.001492077591</v>
      </c>
    </row>
    <row r="8">
      <c r="B8" s="4">
        <f t="shared" si="4"/>
        <v>-150</v>
      </c>
      <c r="D8" s="4">
        <f t="shared" si="1"/>
        <v>1</v>
      </c>
      <c r="F8" s="8">
        <f t="shared" si="2"/>
        <v>0.00002984155183</v>
      </c>
      <c r="Q8" s="4">
        <f t="shared" si="3"/>
        <v>0.001492077591</v>
      </c>
    </row>
    <row r="9">
      <c r="B9" s="4">
        <f t="shared" si="4"/>
        <v>-100</v>
      </c>
      <c r="D9" s="4">
        <f t="shared" si="1"/>
        <v>1</v>
      </c>
      <c r="F9" s="8">
        <f t="shared" si="2"/>
        <v>0.00002984155183</v>
      </c>
      <c r="Q9" s="4">
        <f t="shared" si="3"/>
        <v>0.0005968310366</v>
      </c>
    </row>
    <row r="10">
      <c r="B10" s="4">
        <f>B9+20</f>
        <v>-80</v>
      </c>
      <c r="D10" s="4">
        <f t="shared" si="1"/>
        <v>1</v>
      </c>
      <c r="F10" s="8">
        <f t="shared" si="2"/>
        <v>0.00002984155183</v>
      </c>
      <c r="Q10" s="4">
        <f t="shared" si="3"/>
        <v>0.0002984155183</v>
      </c>
    </row>
    <row r="11">
      <c r="B11" s="4">
        <f t="shared" ref="B11:B24" si="5">B10+10</f>
        <v>-70</v>
      </c>
      <c r="D11" s="4">
        <f t="shared" si="1"/>
        <v>1</v>
      </c>
      <c r="F11" s="8">
        <f t="shared" si="2"/>
        <v>0.00002984155183</v>
      </c>
      <c r="Q11" s="4">
        <f t="shared" si="3"/>
        <v>0.0002984155183</v>
      </c>
    </row>
    <row r="12">
      <c r="B12" s="4">
        <f t="shared" si="5"/>
        <v>-60</v>
      </c>
      <c r="D12" s="4">
        <f t="shared" si="1"/>
        <v>1</v>
      </c>
      <c r="F12" s="8">
        <f t="shared" si="2"/>
        <v>0.00002984155183</v>
      </c>
      <c r="Q12" s="4">
        <f t="shared" si="3"/>
        <v>0.0002984155183</v>
      </c>
    </row>
    <row r="13">
      <c r="B13" s="4">
        <f t="shared" si="5"/>
        <v>-50</v>
      </c>
      <c r="D13" s="4">
        <f t="shared" si="1"/>
        <v>1</v>
      </c>
      <c r="F13" s="8">
        <f t="shared" si="2"/>
        <v>0.00002984155183</v>
      </c>
      <c r="Q13" s="4">
        <f t="shared" si="3"/>
        <v>0.0002984155183</v>
      </c>
    </row>
    <row r="14">
      <c r="B14" s="4">
        <f t="shared" si="5"/>
        <v>-40</v>
      </c>
      <c r="D14" s="4">
        <f t="shared" si="1"/>
        <v>1</v>
      </c>
      <c r="F14" s="8">
        <f t="shared" si="2"/>
        <v>0.00002984155183</v>
      </c>
      <c r="G14" s="12"/>
      <c r="H14" s="12"/>
      <c r="I14" s="12"/>
      <c r="Q14" s="4">
        <f t="shared" si="3"/>
        <v>0.0002984155183</v>
      </c>
    </row>
    <row r="15">
      <c r="B15" s="4">
        <f t="shared" si="5"/>
        <v>-30</v>
      </c>
      <c r="D15" s="4">
        <f t="shared" si="1"/>
        <v>1</v>
      </c>
      <c r="F15" s="8">
        <f t="shared" si="2"/>
        <v>0.00002984155183</v>
      </c>
      <c r="Q15" s="4">
        <f t="shared" si="3"/>
        <v>0.0002984155183</v>
      </c>
    </row>
    <row r="16">
      <c r="B16" s="4">
        <f t="shared" si="5"/>
        <v>-20</v>
      </c>
      <c r="D16" s="4">
        <f t="shared" si="1"/>
        <v>1</v>
      </c>
      <c r="F16" s="8">
        <f t="shared" si="2"/>
        <v>0.00002984155183</v>
      </c>
      <c r="Q16" s="4">
        <f t="shared" si="3"/>
        <v>0.0002984155183</v>
      </c>
    </row>
    <row r="17">
      <c r="B17" s="4">
        <f t="shared" si="5"/>
        <v>-10</v>
      </c>
      <c r="D17" s="4">
        <f t="shared" si="1"/>
        <v>1</v>
      </c>
      <c r="F17" s="8">
        <f t="shared" si="2"/>
        <v>0.00002984155183</v>
      </c>
      <c r="Q17" s="4">
        <f t="shared" si="3"/>
        <v>0.0002984155183</v>
      </c>
    </row>
    <row r="18">
      <c r="B18" s="4">
        <f t="shared" si="5"/>
        <v>0</v>
      </c>
      <c r="D18" s="4">
        <f t="shared" si="1"/>
        <v>1</v>
      </c>
      <c r="F18" s="8">
        <f t="shared" si="2"/>
        <v>0.00002984155183</v>
      </c>
      <c r="Q18" s="4">
        <f t="shared" si="3"/>
        <v>0.0002984155183</v>
      </c>
    </row>
    <row r="19">
      <c r="B19" s="4">
        <f t="shared" si="5"/>
        <v>10</v>
      </c>
      <c r="D19" s="4">
        <f t="shared" si="1"/>
        <v>1</v>
      </c>
      <c r="F19" s="8">
        <f t="shared" si="2"/>
        <v>0.00002984155183</v>
      </c>
      <c r="Q19" s="4">
        <f t="shared" si="3"/>
        <v>0.0002984155183</v>
      </c>
    </row>
    <row r="20">
      <c r="B20" s="4">
        <f t="shared" si="5"/>
        <v>20</v>
      </c>
      <c r="D20" s="4">
        <f t="shared" si="1"/>
        <v>1</v>
      </c>
      <c r="F20" s="8">
        <f t="shared" si="2"/>
        <v>0.00002984155183</v>
      </c>
      <c r="Q20" s="4">
        <f t="shared" si="3"/>
        <v>0.0002984155183</v>
      </c>
    </row>
    <row r="21">
      <c r="B21" s="4">
        <f t="shared" si="5"/>
        <v>30</v>
      </c>
      <c r="D21" s="4">
        <f t="shared" si="1"/>
        <v>1</v>
      </c>
      <c r="F21" s="8">
        <f t="shared" si="2"/>
        <v>0.00002984155183</v>
      </c>
      <c r="Q21" s="4">
        <f t="shared" si="3"/>
        <v>0.0002984155183</v>
      </c>
    </row>
    <row r="22">
      <c r="B22" s="4">
        <f t="shared" si="5"/>
        <v>40</v>
      </c>
      <c r="D22" s="4">
        <f t="shared" si="1"/>
        <v>1</v>
      </c>
      <c r="F22" s="8">
        <f t="shared" si="2"/>
        <v>0.00002984155183</v>
      </c>
      <c r="Q22" s="4">
        <f t="shared" si="3"/>
        <v>0.0002984155183</v>
      </c>
    </row>
    <row r="23">
      <c r="B23" s="4">
        <f t="shared" si="5"/>
        <v>50</v>
      </c>
      <c r="D23" s="4">
        <f t="shared" si="1"/>
        <v>1</v>
      </c>
      <c r="F23" s="8">
        <f t="shared" si="2"/>
        <v>0.00002984155183</v>
      </c>
      <c r="Q23" s="4">
        <f t="shared" si="3"/>
        <v>0.0002984155183</v>
      </c>
    </row>
    <row r="24">
      <c r="B24" s="4">
        <f t="shared" si="5"/>
        <v>60</v>
      </c>
      <c r="D24" s="4">
        <f t="shared" si="1"/>
        <v>1</v>
      </c>
      <c r="F24" s="8">
        <f t="shared" si="2"/>
        <v>0.00002984155183</v>
      </c>
      <c r="Q24" s="4">
        <f t="shared" si="3"/>
        <v>0.0005968310366</v>
      </c>
    </row>
    <row r="25">
      <c r="B25" s="4">
        <f t="shared" ref="B25:B26" si="6">B24+20</f>
        <v>80</v>
      </c>
      <c r="D25" s="4">
        <f t="shared" si="1"/>
        <v>1</v>
      </c>
      <c r="F25" s="8">
        <f t="shared" si="2"/>
        <v>0.00002984155183</v>
      </c>
      <c r="Q25" s="4">
        <f t="shared" si="3"/>
        <v>0.0005968310366</v>
      </c>
    </row>
    <row r="26">
      <c r="B26" s="4">
        <f t="shared" si="6"/>
        <v>100</v>
      </c>
      <c r="D26" s="4">
        <f t="shared" si="1"/>
        <v>1</v>
      </c>
      <c r="F26" s="8">
        <f t="shared" si="2"/>
        <v>0.00002984155183</v>
      </c>
      <c r="Q26" s="4">
        <f t="shared" si="3"/>
        <v>0.001492077591</v>
      </c>
    </row>
    <row r="27">
      <c r="B27" s="4">
        <f t="shared" ref="B27:B29" si="7">B26+50</f>
        <v>150</v>
      </c>
      <c r="D27" s="4">
        <f t="shared" si="1"/>
        <v>1</v>
      </c>
      <c r="F27" s="8">
        <f t="shared" si="2"/>
        <v>0.00002984155183</v>
      </c>
      <c r="Q27" s="4">
        <f t="shared" si="3"/>
        <v>0.001492077591</v>
      </c>
    </row>
    <row r="28">
      <c r="B28" s="4">
        <f t="shared" si="7"/>
        <v>200</v>
      </c>
      <c r="D28" s="4">
        <f t="shared" si="1"/>
        <v>1</v>
      </c>
      <c r="F28" s="8">
        <f t="shared" si="2"/>
        <v>0.00002984155183</v>
      </c>
      <c r="Q28" s="4">
        <f t="shared" si="3"/>
        <v>0.001492077591</v>
      </c>
    </row>
    <row r="29">
      <c r="B29" s="4">
        <f t="shared" si="7"/>
        <v>250</v>
      </c>
      <c r="D29" s="4">
        <f t="shared" si="1"/>
        <v>1</v>
      </c>
      <c r="F29" s="8">
        <f t="shared" si="2"/>
        <v>0.00002984155183</v>
      </c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  <row r="999">
      <c r="F999" s="8"/>
    </row>
    <row r="1000">
      <c r="F1000" s="8"/>
    </row>
    <row r="1001">
      <c r="F1001" s="8"/>
    </row>
    <row r="1002">
      <c r="F1002" s="8"/>
    </row>
    <row r="1003">
      <c r="F1003" s="8"/>
    </row>
    <row r="1004">
      <c r="F1004" s="8"/>
    </row>
  </sheetData>
  <drawing r:id="rId1"/>
</worksheet>
</file>